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7663993ddf446d" /></Relationships>
</file>

<file path=xl/workbook.xml><?xml version="1.0" encoding="utf-8"?>
<x:workbook xmlns:x="http://schemas.openxmlformats.org/spreadsheetml/2006/main">
  <x:sheets>
    <x:sheet xmlns:r="http://schemas.openxmlformats.org/officeDocument/2006/relationships" name="Executive Summary" sheetId="1" r:id="Ra5388d9306774dc5"/>
    <x:sheet xmlns:r="http://schemas.openxmlformats.org/officeDocument/2006/relationships" name="KPI Reconciliation" sheetId="2" r:id="R4d74b77148b4401d"/>
    <x:sheet xmlns:r="http://schemas.openxmlformats.org/officeDocument/2006/relationships" name="Warehouse Validation" sheetId="3" r:id="R461a70bdffac422f"/>
    <x:sheet xmlns:r="http://schemas.openxmlformats.org/officeDocument/2006/relationships" name="Data Quality Checks" sheetId="4" r:id="Ree63485ad70b42e8"/>
    <x:sheet xmlns:r="http://schemas.openxmlformats.org/officeDocument/2006/relationships" name="Methodology &amp; Assumptions" sheetId="5" r:id="Rb7261be191634a5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
    <x:numFmt numFmtId="202" formatCode="#,##0"/>
    <x:numFmt numFmtId="203" formatCode="#,##0.000000"/>
    <x:numFmt numFmtId="204" formatCode="0.0000%"/>
  </x:numFmts>
  <x:fonts count="7">
    <x:font>
      <x:sz val="11"/>
      <x:name val="Carlito"/>
    </x:font>
    <x:font>
      <x:b/>
      <x:sz val="16"/>
      <x:color rgb="FFFFFFFF"/>
      <x:name val="Carlito"/>
    </x:font>
    <x:font>
      <x:b/>
      <x:sz val="11"/>
      <x:color rgb="FF1F1F1F"/>
      <x:name val="Carlito"/>
    </x:font>
    <x:font>
      <x:b/>
      <x:sz val="11"/>
      <x:color rgb="FFFFFFFF"/>
      <x:name val="Carlito"/>
    </x:font>
    <x:font>
      <x:i/>
      <x:sz val="11"/>
      <x:name val="Carlito"/>
    </x:font>
    <x:font>
      <x:b/>
      <x:sz val="10"/>
      <x:color rgb="FFFFFFFF"/>
      <x:name val="Aptos"/>
    </x:font>
    <x:font>
      <x:sz val="10"/>
      <x:name val="Aptos"/>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F2F2F2"/>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3"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vertical="center"/>
    </x:xf>
    <x:xf numFmtId="200" fontId="0" fillId="0" borderId="0" xfId="0" applyNumberFormat="1" applyFont="1" applyFill="1" applyBorder="1" applyAlignment="1">
      <x:alignment vertical="center"/>
    </x:xf>
    <x:xf numFmtId="200" fontId="0" fillId="0" borderId="8" xfId="0" applyNumberFormat="1" applyFont="1" applyFill="1" applyBorder="1" applyAlignment="1">
      <x:alignment vertical="center"/>
    </x:xf>
    <x:xf numFmtId="200" fontId="0" fillId="0" borderId="1" xfId="0" applyNumberFormat="1" applyFont="1" applyFill="1" applyBorder="1" applyAlignment="1">
      <x:alignment vertical="center"/>
    </x:xf>
    <x:xf numFmtId="200" fontId="0" fillId="0" borderId="16" xfId="0" applyNumberFormat="1" applyFont="1" applyFill="1" applyBorder="1" applyAlignment="1">
      <x:alignment vertical="center"/>
    </x:xf>
    <x:xf numFmtId="201" fontId="0" fillId="0" borderId="0" xfId="0" applyNumberFormat="1" applyFont="1" applyFill="1" applyBorder="1" applyAlignment="1">
      <x:alignment vertical="center"/>
    </x:xf>
    <x:xf numFmtId="201" fontId="0" fillId="0" borderId="1" xfId="0" applyNumberFormat="1" applyFont="1" applyFill="1" applyBorder="1" applyAlignment="1">
      <x:alignment vertical="center"/>
    </x:xf>
    <x:xf numFmtId="202" fontId="0" fillId="0" borderId="0" xfId="0" applyNumberFormat="1" applyFont="1" applyFill="1" applyBorder="1" applyAlignment="1">
      <x:alignment vertical="center"/>
    </x:xf>
    <x:xf numFmtId="202" fontId="0" fillId="0" borderId="1" xfId="0" applyNumberFormat="1" applyFont="1" applyFill="1" applyBorder="1" applyAlignment="1">
      <x:alignment vertical="center"/>
    </x:xf>
    <x:xf numFmtId="0" fontId="0" fillId="5" borderId="0" xfId="0" applyNumberFormat="1" applyFont="1" applyFill="1" applyBorder="1" applyAlignment="1">
      <x:alignment vertical="center"/>
    </x:xf>
    <x:xf numFmtId="0" fontId="0" fillId="5" borderId="8" xfId="0" applyNumberFormat="1" applyFont="1" applyFill="1" applyBorder="1" applyAlignment="1">
      <x:alignment vertical="center"/>
    </x:xf>
    <x:xf numFmtId="0" fontId="0" fillId="5" borderId="1" xfId="0" applyNumberFormat="1" applyFont="1" applyFill="1" applyBorder="1" applyAlignment="1">
      <x:alignment vertical="center"/>
    </x:xf>
    <x:xf numFmtId="0" fontId="0" fillId="5" borderId="16" xfId="0" applyNumberFormat="1" applyFont="1" applyFill="1" applyBorder="1" applyAlignment="1">
      <x:alignment vertical="center"/>
    </x:xf>
    <x:xf numFmtId="0" fontId="0" fillId="5" borderId="0" xfId="0" applyNumberFormat="1" applyFont="1" applyFill="1" applyBorder="1"/>
    <x:xf numFmtId="0" fontId="0" fillId="5" borderId="1" xfId="0" applyNumberFormat="1" applyFont="1" applyFill="1" applyBorder="1"/>
    <x:xf numFmtId="0" fontId="0" fillId="0" borderId="2" xfId="0" applyNumberFormat="1" applyFont="1" applyFill="1" applyBorder="1"/>
    <x:xf numFmtId="0" fontId="0" fillId="5" borderId="4" xfId="0" applyNumberFormat="1" applyFont="1" applyFill="1" applyBorder="1"/>
    <x:xf numFmtId="0" fontId="0" fillId="5" borderId="6" xfId="0" applyNumberFormat="1" applyFont="1" applyFill="1" applyBorder="1"/>
    <x:xf numFmtId="0" fontId="0" fillId="5" borderId="9" xfId="0" applyNumberFormat="1" applyFont="1" applyFill="1" applyBorder="1"/>
    <x:xf numFmtId="0" fontId="0" fillId="0" borderId="10" xfId="0" applyNumberFormat="1" applyFont="1" applyFill="1" applyBorder="1"/>
    <x:xf numFmtId="0" fontId="0" fillId="5" borderId="12" xfId="0" applyNumberFormat="1" applyFont="1" applyFill="1" applyBorder="1"/>
    <x:xf numFmtId="0" fontId="0" fillId="5" borderId="14" xfId="0" applyNumberFormat="1" applyFont="1" applyFill="1" applyBorder="1"/>
    <x:xf numFmtId="0" fontId="0" fillId="5" borderId="17" xfId="0" applyNumberFormat="1" applyFont="1" applyFill="1" applyBorder="1"/>
    <x:xf numFmtId="0" fontId="0" fillId="0" borderId="2" xfId="0" applyNumberFormat="1" applyFont="1" applyFill="1" applyBorder="1" applyAlignment="1">
      <x:alignment vertical="center"/>
    </x:xf>
    <x:xf numFmtId="0" fontId="0" fillId="5" borderId="4" xfId="0" applyNumberFormat="1" applyFont="1" applyFill="1" applyBorder="1" applyAlignment="1">
      <x:alignment vertical="center"/>
    </x:xf>
    <x:xf numFmtId="0" fontId="0" fillId="5" borderId="6" xfId="0" applyNumberFormat="1" applyFont="1" applyFill="1" applyBorder="1" applyAlignment="1">
      <x:alignment vertical="center"/>
    </x:xf>
    <x:xf numFmtId="0" fontId="0" fillId="5"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5" borderId="12" xfId="0" applyNumberFormat="1" applyFont="1" applyFill="1" applyBorder="1" applyAlignment="1">
      <x:alignment vertical="center"/>
    </x:xf>
    <x:xf numFmtId="0" fontId="0" fillId="5" borderId="14" xfId="0" applyNumberFormat="1" applyFont="1" applyFill="1" applyBorder="1" applyAlignment="1">
      <x:alignment vertical="center"/>
    </x:xf>
    <x:xf numFmtId="0" fontId="0" fillId="5" borderId="17"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203" fontId="0" fillId="0" borderId="0" xfId="0" applyNumberFormat="1" applyFont="1" applyFill="1" applyBorder="1" applyAlignment="1">
      <x:alignment vertical="center"/>
    </x:xf>
    <x:xf numFmtId="203" fontId="0" fillId="0" borderId="8" xfId="0" applyNumberFormat="1" applyFont="1" applyFill="1" applyBorder="1" applyAlignment="1">
      <x:alignment vertical="center"/>
    </x:xf>
    <x:xf numFmtId="203" fontId="0" fillId="0" borderId="1" xfId="0" applyNumberFormat="1" applyFont="1" applyFill="1" applyBorder="1" applyAlignment="1">
      <x:alignment vertical="center"/>
    </x:xf>
    <x:xf numFmtId="203" fontId="0" fillId="0" borderId="16" xfId="0" applyNumberFormat="1" applyFont="1" applyFill="1" applyBorder="1" applyAlignment="1">
      <x:alignment vertical="center"/>
    </x:xf>
    <x:xf numFmtId="204" fontId="0" fillId="0" borderId="0" xfId="0" applyNumberFormat="1" applyFont="1" applyFill="1" applyBorder="1" applyAlignment="1">
      <x:alignment vertical="center"/>
    </x:xf>
    <x:xf numFmtId="204" fontId="0" fillId="0" borderId="1" xfId="0" applyNumberFormat="1" applyFont="1" applyFill="1" applyBorder="1" applyAlignment="1">
      <x:alignment vertical="center"/>
    </x:xf>
    <x:xf numFmtId="204" fontId="0" fillId="0" borderId="8" xfId="0" applyNumberFormat="1" applyFont="1" applyFill="1" applyBorder="1" applyAlignment="1">
      <x:alignment vertical="center"/>
    </x:xf>
    <x:xf numFmtId="204" fontId="0" fillId="0" borderId="16"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5" borderId="8"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5" fillId="2" borderId="1" xfId="0" applyNumberFormat="1" applyFont="1" applyFill="1" applyBorder="1" applyAlignment="1">
      <x:alignment horizontal="left" vertical="center"/>
    </x:xf>
    <x:xf numFmtId="0" fontId="6" fillId="0" borderId="1" xfId="0" applyNumberFormat="1" applyFont="1" applyFill="1" applyBorder="1"/>
  </x:cellXfs>
  <x:cellStyles count="1">
    <x:cellStyle name="Normal" xfId="0"/>
  </x:cellStyles>
  <x:dxfs count="2">
    <x:dxf>
      <x:font>
        <x:b/>
      </x:font>
      <x:fill>
        <x:patternFill patternType="solid">
          <x:bgColor rgb="FFE2F0D9"/>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03d17aea8f4e73" /><Relationship Type="http://schemas.openxmlformats.org/officeDocument/2006/relationships/theme" Target="/xl/theme/theme1.xml" Id="R9bc128e25c3a4b48" /><Relationship Type="http://schemas.openxmlformats.org/officeDocument/2006/relationships/sharedStrings" Target="/xl/sharedStrings.xml" Id="Rc1fdeb3d91a04c38" /><Relationship Type="http://schemas.openxmlformats.org/officeDocument/2006/relationships/worksheet" Target="/xl/worksheets/sheet1.xml" Id="Ra5388d9306774dc5" /><Relationship Type="http://schemas.openxmlformats.org/officeDocument/2006/relationships/worksheet" Target="/xl/worksheets/sheet2.xml" Id="R4d74b77148b4401d" /><Relationship Type="http://schemas.openxmlformats.org/officeDocument/2006/relationships/worksheet" Target="/xl/worksheets/sheet3.xml" Id="R461a70bdffac422f" /><Relationship Type="http://schemas.openxmlformats.org/officeDocument/2006/relationships/worksheet" Target="/xl/worksheets/sheet4.xml" Id="Ree63485ad70b42e8" /><Relationship Type="http://schemas.openxmlformats.org/officeDocument/2006/relationships/worksheet" Target="/xl/worksheets/sheet5.xml" Id="Rb7261be191634a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8" hidden="0" customWidth="1"/>
    <x:col min="3" max="3" width="14" hidden="0" customWidth="1"/>
    <x:col min="4" max="4" width="18" hidden="0" customWidth="1"/>
    <x:col min="5" max="5" width="12" hidden="0" customWidth="1"/>
    <x:col min="6" max="6" width="38" hidden="0" customWidth="1"/>
  </x:cols>
  <x:sheetData>
    <x:row r="1" ht="28" customHeight="1">
      <x:c r="A1" s="117" t="str">
        <x:v>Retail &amp; Operations Analytics — QA / Reconciliation Workbook</x:v>
      </x:c>
      <x:c r="B1" s="117"/>
      <x:c r="C1" s="117"/>
      <x:c r="D1" s="117"/>
      <x:c r="E1" s="117"/>
      <x:c r="F1" s="117"/>
      <x:c r="G1" s="118"/>
      <x:c r="H1" s="118"/>
      <x:c r="I1" s="118"/>
      <x:c r="J1" s="118"/>
      <x:c r="K1" s="118"/>
      <x:c r="L1" s="118"/>
      <x:c r="M1" s="118"/>
      <x:c r="N1" s="118"/>
      <x:c r="O1" s="118"/>
      <x:c r="P1" s="118"/>
      <x:c r="Q1" s="118"/>
      <x:c r="R1" s="118"/>
      <x:c r="S1" s="118"/>
      <x:c r="T1" s="118"/>
      <x:c r="U1" s="118"/>
      <x:c r="V1" s="118"/>
      <x:c r="W1" s="118"/>
      <x:c r="X1" s="118"/>
      <x:c r="Y1" s="118"/>
      <x:c r="Z1" s="118"/>
    </x:row>
    <x:row r="3">
      <x:c r="A3" s="12" t="str">
        <x:v>Purpose</x:v>
      </x:c>
      <x:c r="B3" s="12"/>
      <x:c r="C3" s="12"/>
      <x:c r="D3" s="12"/>
      <x:c r="E3" s="12"/>
      <x:c r="F3" s="12"/>
    </x:row>
    <x:row r="4">
      <x:c r="A4" s="16" t="str">
        <x:v>Independent QA workbook for the end-to-end retail analytics portfolio. It reconciles warehouse outputs with the Power BI semantic model, records data-quality controls, and documents which enterprise operational fields are simulated.</x:v>
      </x:c>
      <x:c r="B4" s="16"/>
      <x:c r="C4" s="16"/>
      <x:c r="D4" s="16"/>
      <x:c r="E4" s="16"/>
      <x:c r="F4" s="16"/>
    </x:row>
    <x:row r="5">
      <x:c r="A5" s="16"/>
      <x:c r="B5" s="16"/>
      <x:c r="C5" s="16"/>
      <x:c r="D5" s="16"/>
      <x:c r="E5" s="16"/>
      <x:c r="F5" s="16"/>
    </x:row>
    <x:row r="7">
      <x:c r="A7" s="28" t="str">
        <x:v>KPI</x:v>
      </x:c>
      <x:c r="B7" s="29" t="str">
        <x:v>Validated Value</x:v>
      </x:c>
      <x:c r="C7" s="29" t="str">
        <x:v>Unit</x:v>
      </x:c>
      <x:c r="D7" s="29" t="str">
        <x:v>Power BI Check</x:v>
      </x:c>
      <x:c r="E7" s="29" t="str">
        <x:v>Status</x:v>
      </x:c>
      <x:c r="F7" s="30" t="str">
        <x:v>Notes</x:v>
      </x:c>
    </x:row>
    <x:row r="8">
      <x:c r="A8" s="45" t="str">
        <x:v>Delivered Sales</x:v>
      </x:c>
      <x:c r="B8" s="57" t="n">
        <x:v>15419773.75</x:v>
      </x:c>
      <x:c r="C8" s="46" t="str">
        <x:v>currency</x:v>
      </x:c>
      <x:c r="D8" s="57" t="n">
        <x:v>15419773.75000001</x:v>
      </x:c>
      <x:c r="E8" s="65" t="str">
        <x:v>PASS</x:v>
      </x:c>
      <x:c r="F8" s="47" t="str">
        <x:v>Delivered orders only</x:v>
      </x:c>
    </x:row>
    <x:row r="9">
      <x:c r="A9" s="45" t="str">
        <x:v>Estimated Gross Margin</x:v>
      </x:c>
      <x:c r="B9" s="57" t="n">
        <x:v>5187037.64</x:v>
      </x:c>
      <x:c r="C9" s="46" t="str">
        <x:v>currency</x:v>
      </x:c>
      <x:c r="D9" s="57" t="n">
        <x:v>5187037.64</x:v>
      </x:c>
      <x:c r="E9" s="65" t="str">
        <x:v>PASS</x:v>
      </x:c>
      <x:c r="F9" s="47" t="str">
        <x:v>Estimated using modeled COGS</x:v>
      </x:c>
    </x:row>
    <x:row r="10">
      <x:c r="A10" s="45" t="str">
        <x:v>Gross Margin %</x:v>
      </x:c>
      <x:c r="B10" s="61" t="n">
        <x:v>0.3923</x:v>
      </x:c>
      <x:c r="C10" s="61" t="str">
        <x:v>percent</x:v>
      </x:c>
      <x:c r="D10" s="61" t="n">
        <x:v>0.3923</x:v>
      </x:c>
      <x:c r="E10" s="65" t="str">
        <x:v>PASS</x:v>
      </x:c>
      <x:c r="F10" s="47" t="str">
        <x:v>Margin / merchandise sales</x:v>
      </x:c>
    </x:row>
    <x:row r="11">
      <x:c r="A11" s="45" t="str">
        <x:v>Budget Attainment %</x:v>
      </x:c>
      <x:c r="B11" s="61" t="n">
        <x:v>0.9964</x:v>
      </x:c>
      <x:c r="C11" s="61" t="str">
        <x:v>percent</x:v>
      </x:c>
      <x:c r="D11" s="61" t="n">
        <x:v>0.9964</x:v>
      </x:c>
      <x:c r="E11" s="65" t="str">
        <x:v>PASS</x:v>
      </x:c>
      <x:c r="F11" s="47" t="str">
        <x:v>Delivered sales / sales budget</x:v>
      </x:c>
    </x:row>
    <x:row r="12">
      <x:c r="A12" s="45" t="str">
        <x:v>Target Attainment %</x:v>
      </x:c>
      <x:c r="B12" s="61" t="n">
        <x:v>0.9486</x:v>
      </x:c>
      <x:c r="C12" s="61" t="str">
        <x:v>percent</x:v>
      </x:c>
      <x:c r="D12" s="61" t="n">
        <x:v>0.9486</x:v>
      </x:c>
      <x:c r="E12" s="65" t="str">
        <x:v>PASS</x:v>
      </x:c>
      <x:c r="F12" s="47" t="str">
        <x:v>Delivered sales / sales target</x:v>
      </x:c>
    </x:row>
    <x:row r="13">
      <x:c r="A13" s="45" t="str">
        <x:v>Late Delivery Rate</x:v>
      </x:c>
      <x:c r="B13" s="61" t="n">
        <x:v>0.0813</x:v>
      </x:c>
      <x:c r="C13" s="61" t="str">
        <x:v>percent</x:v>
      </x:c>
      <x:c r="D13" s="61" t="n">
        <x:v>0.0813</x:v>
      </x:c>
      <x:c r="E13" s="65" t="str">
        <x:v>PASS</x:v>
      </x:c>
      <x:c r="F13" s="47" t="str">
        <x:v>Valid delivery timelines only</x:v>
      </x:c>
    </x:row>
    <x:row r="14">
      <x:c r="A14" s="45" t="str">
        <x:v>Stockout Rate</x:v>
      </x:c>
      <x:c r="B14" s="61" t="n">
        <x:v>0.0156</x:v>
      </x:c>
      <x:c r="C14" s="46" t="str">
        <x:v>percent</x:v>
      </x:c>
      <x:c r="D14" s="61" t="n">
        <x:v>0.0156</x:v>
      </x:c>
      <x:c r="E14" s="65" t="str">
        <x:v>PASS</x:v>
      </x:c>
      <x:c r="F14" s="47" t="str">
        <x:v>Historical modeled inventory rows</x:v>
      </x:c>
    </x:row>
    <x:row r="15">
      <x:c r="A15" s="45" t="str">
        <x:v>Current Inventory Value</x:v>
      </x:c>
      <x:c r="B15" s="57" t="n">
        <x:v>2324609.88</x:v>
      </x:c>
      <x:c r="C15" s="46" t="str">
        <x:v>currency</x:v>
      </x:c>
      <x:c r="D15" s="57" t="n">
        <x:v>2324609.88</x:v>
      </x:c>
      <x:c r="E15" s="65" t="str">
        <x:v>PASS</x:v>
      </x:c>
      <x:c r="F15" s="47" t="str">
        <x:v>Latest snapshot</x:v>
      </x:c>
    </x:row>
    <x:row r="16">
      <x:c r="A16" s="45" t="str">
        <x:v>Current Inventory Units</x:v>
      </x:c>
      <x:c r="B16" s="63" t="n">
        <x:v>36314</x:v>
      </x:c>
      <x:c r="C16" s="63" t="str">
        <x:v>count</x:v>
      </x:c>
      <x:c r="D16" s="63" t="n">
        <x:v>36314</x:v>
      </x:c>
      <x:c r="E16" s="65" t="str">
        <x:v>PASS</x:v>
      </x:c>
      <x:c r="F16" s="47" t="str">
        <x:v>Latest snapshot</x:v>
      </x:c>
    </x:row>
    <x:row r="17">
      <x:c r="A17" s="45" t="str">
        <x:v>Current Below Reorder Rows</x:v>
      </x:c>
      <x:c r="B17" s="63" t="n">
        <x:v>201</x:v>
      </x:c>
      <x:c r="C17" s="61" t="str">
        <x:v>count</x:v>
      </x:c>
      <x:c r="D17" s="63" t="n">
        <x:v>201</x:v>
      </x:c>
      <x:c r="E17" s="65" t="str">
        <x:v>PASS</x:v>
      </x:c>
      <x:c r="F17" s="47" t="str">
        <x:v>Latest snapshot</x:v>
      </x:c>
    </x:row>
    <x:row r="18">
      <x:c r="A18" s="45" t="str">
        <x:v>Current Below Reorder Rate</x:v>
      </x:c>
      <x:c r="B18" s="61" t="n">
        <x:v>0.019388</x:v>
      </x:c>
      <x:c r="C18" s="61" t="str">
        <x:v>percent</x:v>
      </x:c>
      <x:c r="D18" s="61" t="n">
        <x:v>0.019388</x:v>
      </x:c>
      <x:c r="E18" s="65" t="str">
        <x:v>PASS</x:v>
      </x:c>
      <x:c r="F18" s="47" t="str">
        <x:v>Latest snapshot</x:v>
      </x:c>
    </x:row>
    <x:row r="19">
      <x:c r="A19" s="45" t="str">
        <x:v>Marketing Spend</x:v>
      </x:c>
      <x:c r="B19" s="57" t="n">
        <x:v>720063.83</x:v>
      </x:c>
      <x:c r="C19" s="61" t="str">
        <x:v>currency</x:v>
      </x:c>
      <x:c r="D19" s="57" t="n">
        <x:v>720063.83</x:v>
      </x:c>
      <x:c r="E19" s="65" t="str">
        <x:v>PASS</x:v>
      </x:c>
      <x:c r="F19" s="47" t="str">
        <x:v>Synthetic enterprise marketing layer</x:v>
      </x:c>
    </x:row>
    <x:row r="20">
      <x:c r="A20" s="45" t="str">
        <x:v>Marketing Spend % of Sales</x:v>
      </x:c>
      <x:c r="B20" s="61" t="n">
        <x:v>0.04669743160142019</x:v>
      </x:c>
      <x:c r="C20" s="63" t="str">
        <x:v>percent</x:v>
      </x:c>
      <x:c r="D20" s="61" t="n">
        <x:v>0.04669743160142019</x:v>
      </x:c>
      <x:c r="E20" s="65" t="str">
        <x:v>PASS</x:v>
      </x:c>
      <x:c r="F20" s="47" t="str">
        <x:v>Spend / delivered sales</x:v>
      </x:c>
    </x:row>
    <x:row r="21">
      <x:c r="A21" s="45" t="str">
        <x:v>Marketing Spend per Delivered Order</x:v>
      </x:c>
      <x:c r="B21" s="57" t="n">
        <x:v>7.463502871120877</x:v>
      </x:c>
      <x:c r="C21" s="46" t="str">
        <x:v>currency</x:v>
      </x:c>
      <x:c r="D21" s="57" t="n">
        <x:v>7.463502871120877</x:v>
      </x:c>
      <x:c r="E21" s="65" t="str">
        <x:v>PASS</x:v>
      </x:c>
      <x:c r="F21" s="47" t="str">
        <x:v>Spend / delivered orders</x:v>
      </x:c>
    </x:row>
    <x:row r="22">
      <x:c r="A22" s="45" t="str">
        <x:v>Repeat Customer Rate</x:v>
      </x:c>
      <x:c r="B22" s="61" t="n">
        <x:v>0.031187562437562436</x:v>
      </x:c>
      <x:c r="C22" s="61" t="str">
        <x:v>percent</x:v>
      </x:c>
      <x:c r="D22" s="61" t="n">
        <x:v>0.031187562437562436</x:v>
      </x:c>
      <x:c r="E22" s="65" t="str">
        <x:v>PASS</x:v>
      </x:c>
      <x:c r="F22" s="47" t="str">
        <x:v>2,997 / 96,096 active customers</x:v>
      </x:c>
    </x:row>
    <x:row r="23">
      <x:c r="A23" s="48" t="str">
        <x:v>Average Review Score</x:v>
      </x:c>
      <x:c r="B23" s="58" t="n">
        <x:v>4.09</x:v>
      </x:c>
      <x:c r="C23" s="49" t="str">
        <x:v>score</x:v>
      </x:c>
      <x:c r="D23" s="58" t="n">
        <x:v>4.09</x:v>
      </x:c>
      <x:c r="E23" s="66" t="str">
        <x:v>PASS</x:v>
      </x:c>
      <x:c r="F23" s="50" t="str">
        <x:v>Average review score</x:v>
      </x:c>
    </x:row>
    <x:row r="25">
      <x:c r="A25" s="12" t="str">
        <x:v>Overall Result</x:v>
      </x:c>
      <x:c r="B25" s="12"/>
      <x:c r="C25" s="12"/>
      <x:c r="D25" s="12"/>
      <x:c r="E25" s="12"/>
      <x:c r="F25" s="12"/>
    </x:row>
    <x:row r="26">
      <x:c r="A26" s="79" t="str">
        <x:v>Power BI QA</x:v>
      </x:c>
      <x:c r="B26" s="80" t="str">
        <x:v>PASS</x:v>
      </x:c>
    </x:row>
    <x:row r="27">
      <x:c r="A27" s="45" t="str">
        <x:v>PostgreSQL ↔ Snowflake Validation</x:v>
      </x:c>
      <x:c r="B27" s="81" t="str">
        <x:v>PASS</x:v>
      </x:c>
    </x:row>
    <x:row r="28">
      <x:c r="A28" s="48" t="str">
        <x:v>Date Dimension Continuity</x:v>
      </x:c>
      <x:c r="B28" s="82" t="str">
        <x:v>PASS</x:v>
      </x:c>
    </x:row>
    <x:row r="30">
      <x:c r="A30" s="89" t="str">
        <x:v>Disclosure: Public Olist e-commerce data is supplemented with simulated enterprise operational data. Synthetic stores, suppliers, inventory, budgets, targets, and marketing attributes are illustrative portfolio extensions and must not be presented as observed Olist business metrics.</x:v>
      </x:c>
      <x:c r="B30" s="89"/>
      <x:c r="C30" s="89"/>
      <x:c r="D30" s="89"/>
      <x:c r="E30" s="89"/>
      <x:c r="F30" s="89"/>
    </x:row>
    <x:row r="31">
      <x:c r="A31" s="89"/>
      <x:c r="B31" s="89"/>
      <x:c r="C31" s="89"/>
      <x:c r="D31" s="89"/>
      <x:c r="E31" s="89"/>
      <x:c r="F31" s="89"/>
    </x:row>
    <x:row r="32">
      <x:c r="A32" s="89"/>
      <x:c r="B32" s="89"/>
      <x:c r="C32" s="89"/>
      <x:c r="D32" s="89"/>
      <x:c r="E32" s="89"/>
      <x:c r="F32" s="89"/>
    </x:row>
  </x:sheetData>
  <x:mergeCells>
    <x:mergeCell ref="A1:F1"/>
    <x:mergeCell ref="A3:F3"/>
    <x:mergeCell ref="A4:F5"/>
    <x:mergeCell ref="A25:F25"/>
    <x:mergeCell ref="A30:F32"/>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4" hidden="0" customWidth="1"/>
    <x:col min="6" max="6" width="10" hidden="0" customWidth="1"/>
    <x:col min="7" max="7" width="42" hidden="0" customWidth="1"/>
    <x:col min="8" max="8" width="28" hidden="0" customWidth="1"/>
  </x:cols>
  <x:sheetData>
    <x:row r="1">
      <x:c r="A1" s="117" t="str">
        <x:v>KPI Reconciliation — Warehouse vs Power BI</x:v>
      </x:c>
      <x:c r="B1" s="117"/>
      <x:c r="C1" s="117"/>
      <x:c r="D1" s="117"/>
      <x:c r="E1" s="117"/>
      <x:c r="F1" s="117"/>
      <x:c r="G1" s="117"/>
      <x:c r="H1" s="117"/>
      <x:c r="I1" s="118"/>
      <x:c r="J1" s="118"/>
      <x:c r="K1" s="118"/>
      <x:c r="L1" s="118"/>
      <x:c r="M1" s="118"/>
      <x:c r="N1" s="118"/>
      <x:c r="O1" s="118"/>
      <x:c r="P1" s="118"/>
      <x:c r="Q1" s="118"/>
      <x:c r="R1" s="118"/>
      <x:c r="S1" s="118"/>
      <x:c r="T1" s="118"/>
      <x:c r="U1" s="118"/>
      <x:c r="V1" s="118"/>
      <x:c r="W1" s="118"/>
      <x:c r="X1" s="118"/>
      <x:c r="Y1" s="118"/>
      <x:c r="Z1" s="118"/>
    </x:row>
    <x:row r="3">
      <x:c r="A3" s="28" t="str">
        <x:v>Metric</x:v>
      </x:c>
      <x:c r="B3" s="29" t="str">
        <x:v>Warehouse Baseline</x:v>
      </x:c>
      <x:c r="C3" s="29" t="str">
        <x:v>Power BI Actual</x:v>
      </x:c>
      <x:c r="D3" s="29" t="str">
        <x:v>Absolute Difference</x:v>
      </x:c>
      <x:c r="E3" s="29" t="str">
        <x:v>Tolerance</x:v>
      </x:c>
      <x:c r="F3" s="29" t="str">
        <x:v>Result</x:v>
      </x:c>
      <x:c r="G3" s="29" t="str">
        <x:v>Definition / Formula</x:v>
      </x:c>
      <x:c r="H3" s="30" t="str">
        <x:v>Scope</x:v>
      </x:c>
    </x:row>
    <x:row r="4">
      <x:c r="A4" s="45" t="str">
        <x:v>Orders</x:v>
      </x:c>
      <x:c r="B4" s="63" t="n">
        <x:v>99441</x:v>
      </x:c>
      <x:c r="C4" s="63" t="n">
        <x:v>99441</x:v>
      </x:c>
      <x:c r="D4" s="63" t="n">
        <x:f>ABS(B4-C4)</x:f>
        <x:v>0</x:v>
      </x:c>
      <x:c r="E4" s="63" t="n">
        <x:v>0</x:v>
      </x:c>
      <x:c r="F4" s="46" t="str">
        <x:f>IF(D4&lt;=E4,"PASS","FAIL")</x:f>
        <x:v>PASS</x:v>
      </x:c>
      <x:c r="G4" s="101" t="str">
        <x:v>DISTINCTCOUNT(FACT_ORDERS[ORDER_ID])</x:v>
      </x:c>
      <x:c r="H4" s="102" t="str">
        <x:v>All orders</x:v>
      </x:c>
    </x:row>
    <x:row r="5">
      <x:c r="A5" s="45" t="str">
        <x:v>Delivered Orders</x:v>
      </x:c>
      <x:c r="B5" s="63" t="n">
        <x:v>96478</x:v>
      </x:c>
      <x:c r="C5" s="63" t="n">
        <x:v>96478</x:v>
      </x:c>
      <x:c r="D5" s="63" t="n">
        <x:f>ABS(B5-C5)</x:f>
        <x:v>0</x:v>
      </x:c>
      <x:c r="E5" s="63" t="n">
        <x:v>0</x:v>
      </x:c>
      <x:c r="F5" s="46" t="str">
        <x:f>IF(D5&lt;=E5,"PASS","FAIL")</x:f>
        <x:v>PASS</x:v>
      </x:c>
      <x:c r="G5" s="101" t="str">
        <x:v>Orders filtered to delivered status</x:v>
      </x:c>
      <x:c r="H5" s="102" t="str">
        <x:v>Delivered</x:v>
      </x:c>
    </x:row>
    <x:row r="6">
      <x:c r="A6" s="45" t="str">
        <x:v>Delivered Sales</x:v>
      </x:c>
      <x:c r="B6" s="57" t="n">
        <x:v>15419773.75</x:v>
      </x:c>
      <x:c r="C6" s="57" t="n">
        <x:v>15419773.75000001</x:v>
      </x:c>
      <x:c r="D6" s="57" t="n">
        <x:f>ABS(B6-C6)</x:f>
        <x:v>9.313225746154785e-9</x:v>
      </x:c>
      <x:c r="E6" s="57" t="n">
        <x:v>0.01</x:v>
      </x:c>
      <x:c r="F6" s="46" t="str">
        <x:f>IF(D6&lt;=E6,"PASS","FAIL")</x:f>
        <x:v>PASS</x:v>
      </x:c>
      <x:c r="G6" s="101" t="str">
        <x:v>SUM gross order value, delivered</x:v>
      </x:c>
      <x:c r="H6" s="102" t="str">
        <x:v>Delivered</x:v>
      </x:c>
    </x:row>
    <x:row r="7">
      <x:c r="A7" s="45" t="str">
        <x:v>Delivered Merchandise Sales</x:v>
      </x:c>
      <x:c r="B7" s="57" t="n">
        <x:v>13221498.11</x:v>
      </x:c>
      <x:c r="C7" s="57" t="n">
        <x:v>13221498.11</x:v>
      </x:c>
      <x:c r="D7" s="57" t="n">
        <x:f>ABS(B7-C7)</x:f>
        <x:v>0</x:v>
      </x:c>
      <x:c r="E7" s="57" t="n">
        <x:v>0.01</x:v>
      </x:c>
      <x:c r="F7" s="46" t="str">
        <x:f>IF(D7&lt;=E7,"PASS","FAIL")</x:f>
        <x:v>PASS</x:v>
      </x:c>
      <x:c r="G7" s="101" t="str">
        <x:v>SUM item price, delivered</x:v>
      </x:c>
      <x:c r="H7" s="102" t="str">
        <x:v>Delivered</x:v>
      </x:c>
    </x:row>
    <x:row r="8">
      <x:c r="A8" s="45" t="str">
        <x:v>Estimated COGS</x:v>
      </x:c>
      <x:c r="B8" s="57" t="n">
        <x:v>8034460.47</x:v>
      </x:c>
      <x:c r="C8" s="57" t="n">
        <x:v>8034460.47</x:v>
      </x:c>
      <x:c r="D8" s="57" t="n">
        <x:f>ABS(B8-C8)</x:f>
        <x:v>0</x:v>
      </x:c>
      <x:c r="E8" s="57" t="n">
        <x:v>0.01</x:v>
      </x:c>
      <x:c r="F8" s="46" t="str">
        <x:f>IF(D8&lt;=E8,"PASS","FAIL")</x:f>
        <x:v>PASS</x:v>
      </x:c>
      <x:c r="G8" s="101" t="str">
        <x:v>SUM estimated COGS, delivered</x:v>
      </x:c>
      <x:c r="H8" s="102" t="str">
        <x:v>Delivered</x:v>
      </x:c>
    </x:row>
    <x:row r="9">
      <x:c r="A9" s="45" t="str">
        <x:v>Estimated Gross Margin</x:v>
      </x:c>
      <x:c r="B9" s="57" t="n">
        <x:v>5187037.64</x:v>
      </x:c>
      <x:c r="C9" s="57" t="n">
        <x:v>5187037.64</x:v>
      </x:c>
      <x:c r="D9" s="57" t="n">
        <x:f>ABS(B9-C9)</x:f>
        <x:v>0</x:v>
      </x:c>
      <x:c r="E9" s="57" t="n">
        <x:v>0.01</x:v>
      </x:c>
      <x:c r="F9" s="46" t="str">
        <x:f>IF(D9&lt;=E9,"PASS","FAIL")</x:f>
        <x:v>PASS</x:v>
      </x:c>
      <x:c r="G9" s="101" t="str">
        <x:v>SUM estimated gross margin, delivered</x:v>
      </x:c>
      <x:c r="H9" s="102" t="str">
        <x:v>Delivered</x:v>
      </x:c>
    </x:row>
    <x:row r="10">
      <x:c r="A10" s="45" t="str">
        <x:v>Gross Margin %</x:v>
      </x:c>
      <x:c r="B10" s="97" t="n">
        <x:v>0.3923</x:v>
      </x:c>
      <x:c r="C10" s="97" t="n">
        <x:v>0.3923</x:v>
      </x:c>
      <x:c r="D10" s="97" t="n">
        <x:f>ABS(B10-C10)</x:f>
        <x:v>0</x:v>
      </x:c>
      <x:c r="E10" s="97" t="n">
        <x:v>0.0001</x:v>
      </x:c>
      <x:c r="F10" s="46" t="str">
        <x:f>IF(D10&lt;=E10,"PASS","FAIL")</x:f>
        <x:v>PASS</x:v>
      </x:c>
      <x:c r="G10" s="101" t="str">
        <x:v>Gross margin / merchandise sales</x:v>
      </x:c>
      <x:c r="H10" s="102" t="str">
        <x:v>Delivered</x:v>
      </x:c>
    </x:row>
    <x:row r="11">
      <x:c r="A11" s="45" t="str">
        <x:v>Sales Budget</x:v>
      </x:c>
      <x:c r="B11" s="57" t="n">
        <x:v>15475046.44</x:v>
      </x:c>
      <x:c r="C11" s="57" t="n">
        <x:v>15475046.44</x:v>
      </x:c>
      <x:c r="D11" s="57" t="n">
        <x:f>ABS(B11-C11)</x:f>
        <x:v>0</x:v>
      </x:c>
      <x:c r="E11" s="57" t="n">
        <x:v>0.01</x:v>
      </x:c>
      <x:c r="F11" s="46" t="str">
        <x:f>IF(D11&lt;=E11,"PASS","FAIL")</x:f>
        <x:v>PASS</x:v>
      </x:c>
      <x:c r="G11" s="101" t="str">
        <x:v>SUM FACT_STORE_PLAN[SALES_BUDGET]</x:v>
      </x:c>
      <x:c r="H11" s="102" t="str">
        <x:v>All modeled stores</x:v>
      </x:c>
    </x:row>
    <x:row r="12">
      <x:c r="A12" s="45" t="str">
        <x:v>Sales Target</x:v>
      </x:c>
      <x:c r="B12" s="57" t="n">
        <x:v>16255470.74</x:v>
      </x:c>
      <x:c r="C12" s="57" t="n">
        <x:v>16255470.74</x:v>
      </x:c>
      <x:c r="D12" s="57" t="n">
        <x:f>ABS(B12-C12)</x:f>
        <x:v>0</x:v>
      </x:c>
      <x:c r="E12" s="57" t="n">
        <x:v>0.01</x:v>
      </x:c>
      <x:c r="F12" s="46" t="str">
        <x:f>IF(D12&lt;=E12,"PASS","FAIL")</x:f>
        <x:v>PASS</x:v>
      </x:c>
      <x:c r="G12" s="101" t="str">
        <x:v>SUM FACT_STORE_PLAN[SALES_TARGET]</x:v>
      </x:c>
      <x:c r="H12" s="102" t="str">
        <x:v>All modeled stores</x:v>
      </x:c>
    </x:row>
    <x:row r="13">
      <x:c r="A13" s="45" t="str">
        <x:v>Budget Attainment %</x:v>
      </x:c>
      <x:c r="B13" s="97" t="n">
        <x:v>0.9964</x:v>
      </x:c>
      <x:c r="C13" s="97" t="n">
        <x:v>0.9964</x:v>
      </x:c>
      <x:c r="D13" s="97" t="n">
        <x:f>ABS(B13-C13)</x:f>
        <x:v>0</x:v>
      </x:c>
      <x:c r="E13" s="97" t="n">
        <x:v>0.0001</x:v>
      </x:c>
      <x:c r="F13" s="46" t="str">
        <x:f>IF(D13&lt;=E13,"PASS","FAIL")</x:f>
        <x:v>PASS</x:v>
      </x:c>
      <x:c r="G13" s="101" t="str">
        <x:v>Delivered sales / sales budget</x:v>
      </x:c>
      <x:c r="H13" s="102" t="str">
        <x:v>All</x:v>
      </x:c>
    </x:row>
    <x:row r="14">
      <x:c r="A14" s="45" t="str">
        <x:v>Target Attainment %</x:v>
      </x:c>
      <x:c r="B14" s="97" t="n">
        <x:v>0.9486</x:v>
      </x:c>
      <x:c r="C14" s="97" t="n">
        <x:v>0.9486</x:v>
      </x:c>
      <x:c r="D14" s="97" t="n">
        <x:f>ABS(B14-C14)</x:f>
        <x:v>0</x:v>
      </x:c>
      <x:c r="E14" s="97" t="n">
        <x:v>0.0001</x:v>
      </x:c>
      <x:c r="F14" s="46" t="str">
        <x:f>IF(D14&lt;=E14,"PASS","FAIL")</x:f>
        <x:v>PASS</x:v>
      </x:c>
      <x:c r="G14" s="101" t="str">
        <x:v>Delivered sales / sales target</x:v>
      </x:c>
      <x:c r="H14" s="102" t="str">
        <x:v>All</x:v>
      </x:c>
    </x:row>
    <x:row r="15">
      <x:c r="A15" s="45" t="str">
        <x:v>Late Delivery Rate</x:v>
      </x:c>
      <x:c r="B15" s="97" t="n">
        <x:v>0.0813</x:v>
      </x:c>
      <x:c r="C15" s="97" t="n">
        <x:v>0.0813</x:v>
      </x:c>
      <x:c r="D15" s="97" t="n">
        <x:f>ABS(B15-C15)</x:f>
        <x:v>0</x:v>
      </x:c>
      <x:c r="E15" s="97" t="n">
        <x:v>0.0001</x:v>
      </x:c>
      <x:c r="F15" s="46" t="str">
        <x:f>IF(D15&lt;=E15,"PASS","FAIL")</x:f>
        <x:v>PASS</x:v>
      </x:c>
      <x:c r="G15" s="101" t="str">
        <x:v>Late valid-delivery orders / valid-delivery orders</x:v>
      </x:c>
      <x:c r="H15" s="102" t="str">
        <x:v>All valid delivery timelines</x:v>
      </x:c>
    </x:row>
    <x:row r="16">
      <x:c r="A16" s="45" t="str">
        <x:v>Stockout Rate</x:v>
      </x:c>
      <x:c r="B16" s="97" t="n">
        <x:v>0.0156</x:v>
      </x:c>
      <x:c r="C16" s="97" t="n">
        <x:v>0.0156</x:v>
      </x:c>
      <x:c r="D16" s="97" t="n">
        <x:f>ABS(B16-C16)</x:f>
        <x:v>0</x:v>
      </x:c>
      <x:c r="E16" s="97" t="n">
        <x:v>0.0001</x:v>
      </x:c>
      <x:c r="F16" s="46" t="str">
        <x:f>IF(D16&lt;=E16,"PASS","FAIL")</x:f>
        <x:v>PASS</x:v>
      </x:c>
      <x:c r="G16" s="101" t="str">
        <x:v>Stockout inventory rows / all inventory rows</x:v>
      </x:c>
      <x:c r="H16" s="102" t="str">
        <x:v>Historical modeled inventory</x:v>
      </x:c>
    </x:row>
    <x:row r="17">
      <x:c r="A17" s="45" t="str">
        <x:v>Current Inventory Value</x:v>
      </x:c>
      <x:c r="B17" s="57" t="n">
        <x:v>2324609.88</x:v>
      </x:c>
      <x:c r="C17" s="57" t="n">
        <x:v>2324609.88</x:v>
      </x:c>
      <x:c r="D17" s="57" t="n">
        <x:f>ABS(B17-C17)</x:f>
        <x:v>0</x:v>
      </x:c>
      <x:c r="E17" s="57" t="n">
        <x:v>0.01</x:v>
      </x:c>
      <x:c r="F17" s="46" t="str">
        <x:f>IF(D17&lt;=E17,"PASS","FAIL")</x:f>
        <x:v>PASS</x:v>
      </x:c>
      <x:c r="G17" s="101" t="str">
        <x:v>Latest snapshot closing inventory value</x:v>
      </x:c>
      <x:c r="H17" s="102" t="str">
        <x:v>Latest snapshot</x:v>
      </x:c>
    </x:row>
    <x:row r="18">
      <x:c r="A18" s="45" t="str">
        <x:v>Current Inventory Units</x:v>
      </x:c>
      <x:c r="B18" s="63" t="n">
        <x:v>36314</x:v>
      </x:c>
      <x:c r="C18" s="63" t="n">
        <x:v>36314</x:v>
      </x:c>
      <x:c r="D18" s="63" t="n">
        <x:f>ABS(B18-C18)</x:f>
        <x:v>0</x:v>
      </x:c>
      <x:c r="E18" s="63" t="n">
        <x:v>0</x:v>
      </x:c>
      <x:c r="F18" s="46" t="str">
        <x:f>IF(D18&lt;=E18,"PASS","FAIL")</x:f>
        <x:v>PASS</x:v>
      </x:c>
      <x:c r="G18" s="101" t="str">
        <x:v>Latest snapshot closing stock qty</x:v>
      </x:c>
      <x:c r="H18" s="102" t="str">
        <x:v>Latest snapshot</x:v>
      </x:c>
    </x:row>
    <x:row r="19">
      <x:c r="A19" s="45" t="str">
        <x:v>Current Below Reorder Rows</x:v>
      </x:c>
      <x:c r="B19" s="63" t="n">
        <x:v>201</x:v>
      </x:c>
      <x:c r="C19" s="63" t="n">
        <x:v>201</x:v>
      </x:c>
      <x:c r="D19" s="63" t="n">
        <x:f>ABS(B19-C19)</x:f>
        <x:v>0</x:v>
      </x:c>
      <x:c r="E19" s="63" t="n">
        <x:v>0</x:v>
      </x:c>
      <x:c r="F19" s="46" t="str">
        <x:f>IF(D19&lt;=E19,"PASS","FAIL")</x:f>
        <x:v>PASS</x:v>
      </x:c>
      <x:c r="G19" s="101" t="str">
        <x:v>Latest snapshot rows below reorder point</x:v>
      </x:c>
      <x:c r="H19" s="102" t="str">
        <x:v>Latest snapshot</x:v>
      </x:c>
    </x:row>
    <x:row r="20">
      <x:c r="A20" s="45" t="str">
        <x:v>Current Below Reorder Rate</x:v>
      </x:c>
      <x:c r="B20" s="97" t="n">
        <x:v>0.019388</x:v>
      </x:c>
      <x:c r="C20" s="97" t="n">
        <x:v>0.019388</x:v>
      </x:c>
      <x:c r="D20" s="97" t="n">
        <x:f>ABS(B20-C20)</x:f>
        <x:v>0</x:v>
      </x:c>
      <x:c r="E20" s="97" t="n">
        <x:v>0.000001</x:v>
      </x:c>
      <x:c r="F20" s="46" t="str">
        <x:f>IF(D20&lt;=E20,"PASS","FAIL")</x:f>
        <x:v>PASS</x:v>
      </x:c>
      <x:c r="G20" s="101" t="str">
        <x:v>Below reorder rows / latest snapshot rows</x:v>
      </x:c>
      <x:c r="H20" s="102" t="str">
        <x:v>Latest snapshot</x:v>
      </x:c>
    </x:row>
    <x:row r="21">
      <x:c r="A21" s="45" t="str">
        <x:v>Marketing Spend</x:v>
      </x:c>
      <x:c r="B21" s="57" t="n">
        <x:v>720063.83</x:v>
      </x:c>
      <x:c r="C21" s="57" t="n">
        <x:v>720063.83</x:v>
      </x:c>
      <x:c r="D21" s="57" t="n">
        <x:f>ABS(B21-C21)</x:f>
        <x:v>0</x:v>
      </x:c>
      <x:c r="E21" s="57" t="n">
        <x:v>0.01</x:v>
      </x:c>
      <x:c r="F21" s="46" t="str">
        <x:f>IF(D21&lt;=E21,"PASS","FAIL")</x:f>
        <x:v>PASS</x:v>
      </x:c>
      <x:c r="G21" s="101" t="str">
        <x:v>SUM FACT_MARKETING_SPEND[SPEND]</x:v>
      </x:c>
      <x:c r="H21" s="102" t="str">
        <x:v>Synthetic marketing</x:v>
      </x:c>
    </x:row>
    <x:row r="22">
      <x:c r="A22" s="45" t="str">
        <x:v>Marketing Spend % of Sales</x:v>
      </x:c>
      <x:c r="B22" s="97" t="n">
        <x:v>0.04669743160142019</x:v>
      </x:c>
      <x:c r="C22" s="97" t="n">
        <x:v>0.04669743160142019</x:v>
      </x:c>
      <x:c r="D22" s="97" t="n">
        <x:f>ABS(B22-C22)</x:f>
        <x:v>0</x:v>
      </x:c>
      <x:c r="E22" s="97" t="n">
        <x:v>1e-12</x:v>
      </x:c>
      <x:c r="F22" s="46" t="str">
        <x:f>IF(D22&lt;=E22,"PASS","FAIL")</x:f>
        <x:v>PASS</x:v>
      </x:c>
      <x:c r="G22" s="101" t="str">
        <x:v>Marketing spend / delivered sales</x:v>
      </x:c>
      <x:c r="H22" s="102" t="str">
        <x:v>All</x:v>
      </x:c>
    </x:row>
    <x:row r="23">
      <x:c r="A23" s="45" t="str">
        <x:v>Marketing Spend per Delivered Order</x:v>
      </x:c>
      <x:c r="B23" s="57" t="n">
        <x:v>7.463502871120877</x:v>
      </x:c>
      <x:c r="C23" s="57" t="n">
        <x:v>7.463502871120877</x:v>
      </x:c>
      <x:c r="D23" s="57" t="n">
        <x:f>ABS(B23-C23)</x:f>
        <x:v>0</x:v>
      </x:c>
      <x:c r="E23" s="57" t="n">
        <x:v>1e-12</x:v>
      </x:c>
      <x:c r="F23" s="46" t="str">
        <x:f>IF(D23&lt;=E23,"PASS","FAIL")</x:f>
        <x:v>PASS</x:v>
      </x:c>
      <x:c r="G23" s="101" t="str">
        <x:v>Marketing spend / delivered orders</x:v>
      </x:c>
      <x:c r="H23" s="102" t="str">
        <x:v>All</x:v>
      </x:c>
    </x:row>
    <x:row r="24">
      <x:c r="A24" s="45" t="str">
        <x:v>Active Customers</x:v>
      </x:c>
      <x:c r="B24" s="63" t="n">
        <x:v>96096</x:v>
      </x:c>
      <x:c r="C24" s="63" t="n">
        <x:v>96096</x:v>
      </x:c>
      <x:c r="D24" s="63" t="n">
        <x:f>ABS(B24-C24)</x:f>
        <x:v>0</x:v>
      </x:c>
      <x:c r="E24" s="63" t="n">
        <x:v>0</x:v>
      </x:c>
      <x:c r="F24" s="46" t="str">
        <x:f>IF(D24&lt;=E24,"PASS","FAIL")</x:f>
        <x:v>PASS</x:v>
      </x:c>
      <x:c r="G24" s="101" t="str">
        <x:v>Unique customers with &gt;= 1 order</x:v>
      </x:c>
      <x:c r="H24" s="102" t="str">
        <x:v>All</x:v>
      </x:c>
    </x:row>
    <x:row r="25">
      <x:c r="A25" s="45" t="str">
        <x:v>Repeat Customers</x:v>
      </x:c>
      <x:c r="B25" s="63" t="n">
        <x:v>2997</x:v>
      </x:c>
      <x:c r="C25" s="63" t="n">
        <x:v>2997</x:v>
      </x:c>
      <x:c r="D25" s="63" t="n">
        <x:f>ABS(B25-C25)</x:f>
        <x:v>0</x:v>
      </x:c>
      <x:c r="E25" s="63" t="n">
        <x:v>0</x:v>
      </x:c>
      <x:c r="F25" s="46" t="str">
        <x:f>IF(D25&lt;=E25,"PASS","FAIL")</x:f>
        <x:v>PASS</x:v>
      </x:c>
      <x:c r="G25" s="101" t="str">
        <x:v>Unique customers with &gt; 1 order</x:v>
      </x:c>
      <x:c r="H25" s="102" t="str">
        <x:v>All</x:v>
      </x:c>
    </x:row>
    <x:row r="26">
      <x:c r="A26" s="48" t="str">
        <x:v>Repeat Customer Rate</x:v>
      </x:c>
      <x:c r="B26" s="99" t="n">
        <x:v>0.031187562437562436</x:v>
      </x:c>
      <x:c r="C26" s="99" t="n">
        <x:v>0.031187562437562436</x:v>
      </x:c>
      <x:c r="D26" s="99" t="n">
        <x:f>ABS(B26-C26)</x:f>
        <x:v>0</x:v>
      </x:c>
      <x:c r="E26" s="99" t="n">
        <x:v>1e-12</x:v>
      </x:c>
      <x:c r="F26" s="49" t="str">
        <x:f>IF(D26&lt;=E26,"PASS","FAIL")</x:f>
        <x:v>PASS</x:v>
      </x:c>
      <x:c r="G26" s="103" t="str">
        <x:v>Repeat customers / active customers</x:v>
      </x:c>
      <x:c r="H26" s="104" t="str">
        <x:v>All</x:v>
      </x:c>
    </x:row>
  </x:sheetData>
  <x:mergeCells>
    <x:mergeCell ref="A1:H1"/>
  </x:mergeCells>
  <x:conditionalFormatting sqref="F4:F26">
    <x:cfRule type="expression" dxfId="0" priority="1">
      <x:formula>F4="PASS"</x:formula>
    </x:cfRule>
    <x:cfRule type="expression" dxfId="1" priority="2">
      <x:formula>F4="FAIL"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6" hidden="0" customWidth="1"/>
    <x:col min="5" max="5" width="18" hidden="0" customWidth="1"/>
    <x:col min="6" max="6" width="10" hidden="0" customWidth="1"/>
    <x:col min="7" max="7" width="42" hidden="0" customWidth="1"/>
  </x:cols>
  <x:sheetData>
    <x:row r="1">
      <x:c r="A1" s="117" t="str">
        <x:v>Warehouse Validation — PostgreSQL ↔ Snowflake</x:v>
      </x:c>
      <x:c r="B1" s="117"/>
      <x:c r="C1" s="117"/>
      <x:c r="D1" s="117"/>
      <x:c r="E1" s="117"/>
      <x:c r="F1" s="117"/>
      <x:c r="G1" s="117"/>
      <x:c r="H1" s="118"/>
      <x:c r="I1" s="118"/>
      <x:c r="J1" s="118"/>
      <x:c r="K1" s="118"/>
      <x:c r="L1" s="118"/>
      <x:c r="M1" s="118"/>
      <x:c r="N1" s="118"/>
      <x:c r="O1" s="118"/>
      <x:c r="P1" s="118"/>
      <x:c r="Q1" s="118"/>
      <x:c r="R1" s="118"/>
      <x:c r="S1" s="118"/>
      <x:c r="T1" s="118"/>
      <x:c r="U1" s="118"/>
      <x:c r="V1" s="118"/>
      <x:c r="W1" s="118"/>
      <x:c r="X1" s="118"/>
      <x:c r="Y1" s="118"/>
      <x:c r="Z1" s="118"/>
    </x:row>
    <x:row r="3">
      <x:c r="A3" s="28" t="str">
        <x:v>Control</x:v>
      </x:c>
      <x:c r="B3" s="29" t="str">
        <x:v>PostgreSQL</x:v>
      </x:c>
      <x:c r="C3" s="29" t="str">
        <x:v>Snowflake</x:v>
      </x:c>
      <x:c r="D3" s="29" t="str">
        <x:v>Difference</x:v>
      </x:c>
      <x:c r="E3" s="29" t="str">
        <x:v>Expected</x:v>
      </x:c>
      <x:c r="F3" s="29" t="str">
        <x:v>Result</x:v>
      </x:c>
      <x:c r="G3" s="30" t="str">
        <x:v>Notes</x:v>
      </x:c>
    </x:row>
    <x:row r="4">
      <x:c r="A4" s="45" t="str">
        <x:v>Analytics table count</x:v>
      </x:c>
      <x:c r="B4" s="63" t="n">
        <x:v>15</x:v>
      </x:c>
      <x:c r="C4" s="63" t="n">
        <x:v>15</x:v>
      </x:c>
      <x:c r="D4" s="63" t="n">
        <x:f>ABS(B4-C4)</x:f>
        <x:v>0</x:v>
      </x:c>
      <x:c r="E4" s="63" t="n">
        <x:v>15</x:v>
      </x:c>
      <x:c r="F4" s="65" t="str">
        <x:f>IF(AND(D4=0,C4=E4),"PASS","FAIL")</x:f>
        <x:v>PASS</x:v>
      </x:c>
      <x:c r="G4" s="102" t="str">
        <x:v>Published analytics serving layer</x:v>
      </x:c>
    </x:row>
    <x:row r="5">
      <x:c r="A5" s="45" t="str">
        <x:v>Total analytics rows</x:v>
      </x:c>
      <x:c r="B5" s="63" t="n">
        <x:v>661470</x:v>
      </x:c>
      <x:c r="C5" s="63" t="n">
        <x:v>661470</x:v>
      </x:c>
      <x:c r="D5" s="63" t="n">
        <x:f>ABS(B5-C5)</x:f>
        <x:v>0</x:v>
      </x:c>
      <x:c r="E5" s="63" t="n">
        <x:v>661470</x:v>
      </x:c>
      <x:c r="F5" s="65" t="str">
        <x:f>IF(AND(D5=0,C5=E5),"PASS","FAIL")</x:f>
        <x:v>PASS</x:v>
      </x:c>
      <x:c r="G5" s="102" t="str">
        <x:v>After dim_date continuity repair</x:v>
      </x:c>
    </x:row>
    <x:row r="6">
      <x:c r="A6" s="45" t="str">
        <x:v>DIM_DATE rows</x:v>
      </x:c>
      <x:c r="B6" s="63" t="n">
        <x:v>1317</x:v>
      </x:c>
      <x:c r="C6" s="63" t="n">
        <x:v>1317</x:v>
      </x:c>
      <x:c r="D6" s="63" t="n">
        <x:f>ABS(B6-C6)</x:f>
        <x:v>0</x:v>
      </x:c>
      <x:c r="E6" s="63" t="n">
        <x:v>1317</x:v>
      </x:c>
      <x:c r="F6" s="65" t="str">
        <x:f>IF(AND(D6=0,C6=E6),"PASS","FAIL")</x:f>
        <x:v>PASS</x:v>
      </x:c>
      <x:c r="G6" s="102" t="str">
        <x:v>Continuous date dimension</x:v>
      </x:c>
    </x:row>
    <x:row r="7">
      <x:c r="A7" s="45" t="str">
        <x:v>DIM_DATE min date</x:v>
      </x:c>
      <x:c r="B7" s="57" t="str">
        <x:v>2016-09-01</x:v>
      </x:c>
      <x:c r="C7" s="57" t="str">
        <x:v>2016-09-01</x:v>
      </x:c>
      <x:c r="D7" s="57" t="str">
        <x:v>n/a</x:v>
      </x:c>
      <x:c r="E7" s="57" t="str">
        <x:v>2016-09-01</x:v>
      </x:c>
      <x:c r="F7" s="65" t="str">
        <x:f>IF(AND(B7=C7,B7=E7),"PASS","FAIL")</x:f>
        <x:v>PASS</x:v>
      </x:c>
      <x:c r="G7" s="102" t="str">
        <x:v>Control value</x:v>
      </x:c>
    </x:row>
    <x:row r="8">
      <x:c r="A8" s="45" t="str">
        <x:v>DIM_DATE max date</x:v>
      </x:c>
      <x:c r="B8" s="57" t="str">
        <x:v>2020-04-09</x:v>
      </x:c>
      <x:c r="C8" s="57" t="str">
        <x:v>2020-04-09</x:v>
      </x:c>
      <x:c r="D8" s="57" t="str">
        <x:v>n/a</x:v>
      </x:c>
      <x:c r="E8" s="57" t="str">
        <x:v>2020-04-09</x:v>
      </x:c>
      <x:c r="F8" s="65" t="str">
        <x:f>IF(AND(B8=C8,B8=E8),"PASS","FAIL")</x:f>
        <x:v>PASS</x:v>
      </x:c>
      <x:c r="G8" s="102" t="str">
        <x:v>Control value</x:v>
      </x:c>
    </x:row>
    <x:row r="9">
      <x:c r="A9" s="45" t="str">
        <x:v>Missing dates in DIM_DATE</x:v>
      </x:c>
      <x:c r="B9" s="63" t="n">
        <x:v>0</x:v>
      </x:c>
      <x:c r="C9" s="63" t="n">
        <x:v>0</x:v>
      </x:c>
      <x:c r="D9" s="63" t="n">
        <x:f>ABS(B9-C9)</x:f>
        <x:v>0</x:v>
      </x:c>
      <x:c r="E9" s="63" t="n">
        <x:v>0</x:v>
      </x:c>
      <x:c r="F9" s="65" t="str">
        <x:f>IF(AND(D9=0,C9=E9),"PASS","FAIL")</x:f>
        <x:v>PASS</x:v>
      </x:c>
      <x:c r="G9" s="102" t="str">
        <x:v>2016-09-02 and 2016-09-03 repaired</x:v>
      </x:c>
    </x:row>
    <x:row r="10">
      <x:c r="A10" s="45" t="str">
        <x:v>Delivered orders</x:v>
      </x:c>
      <x:c r="B10" s="63" t="n">
        <x:v>96478</x:v>
      </x:c>
      <x:c r="C10" s="63" t="n">
        <x:v>96478</x:v>
      </x:c>
      <x:c r="D10" s="63" t="n">
        <x:f>ABS(B10-C10)</x:f>
        <x:v>0</x:v>
      </x:c>
      <x:c r="E10" s="63" t="n">
        <x:v>96478</x:v>
      </x:c>
      <x:c r="F10" s="65" t="str">
        <x:f>IF(AND(D10=0,C10=E10),"PASS","FAIL")</x:f>
        <x:v>PASS</x:v>
      </x:c>
      <x:c r="G10" s="102" t="str">
        <x:v>Business-control reconciliation</x:v>
      </x:c>
    </x:row>
    <x:row r="11">
      <x:c r="A11" s="45" t="str">
        <x:v>Delivered gross sales</x:v>
      </x:c>
      <x:c r="B11" s="57" t="n">
        <x:v>15419773.75</x:v>
      </x:c>
      <x:c r="C11" s="57" t="n">
        <x:v>15419773.75</x:v>
      </x:c>
      <x:c r="D11" s="57" t="n">
        <x:f>ABS(B11-C11)</x:f>
        <x:v>0</x:v>
      </x:c>
      <x:c r="E11" s="57" t="n">
        <x:v>15419773.75</x:v>
      </x:c>
      <x:c r="F11" s="65" t="str">
        <x:f>IF(AND(D11=0,C11=E11),"PASS","FAIL")</x:f>
        <x:v>PASS</x:v>
      </x:c>
      <x:c r="G11" s="102" t="str">
        <x:v>Business-control reconciliation</x:v>
      </x:c>
    </x:row>
    <x:row r="12">
      <x:c r="A12" s="45" t="str">
        <x:v>Delivered merchandise sales</x:v>
      </x:c>
      <x:c r="B12" s="57" t="n">
        <x:v>13221498.11</x:v>
      </x:c>
      <x:c r="C12" s="57" t="n">
        <x:v>13221498.11</x:v>
      </x:c>
      <x:c r="D12" s="57" t="n">
        <x:f>ABS(B12-C12)</x:f>
        <x:v>0</x:v>
      </x:c>
      <x:c r="E12" s="57" t="n">
        <x:v>13221498.11</x:v>
      </x:c>
      <x:c r="F12" s="65" t="str">
        <x:f>IF(AND(D12=0,C12=E12),"PASS","FAIL")</x:f>
        <x:v>PASS</x:v>
      </x:c>
      <x:c r="G12" s="102" t="str">
        <x:v>Business-control reconciliation</x:v>
      </x:c>
    </x:row>
    <x:row r="13">
      <x:c r="A13" s="45" t="str">
        <x:v>Delivered estimated COGS</x:v>
      </x:c>
      <x:c r="B13" s="57" t="n">
        <x:v>8034460.47</x:v>
      </x:c>
      <x:c r="C13" s="57" t="n">
        <x:v>8034460.47</x:v>
      </x:c>
      <x:c r="D13" s="57" t="n">
        <x:f>ABS(B13-C13)</x:f>
        <x:v>0</x:v>
      </x:c>
      <x:c r="E13" s="57" t="n">
        <x:v>8034460.47</x:v>
      </x:c>
      <x:c r="F13" s="65" t="str">
        <x:f>IF(AND(D13=0,C13=E13),"PASS","FAIL")</x:f>
        <x:v>PASS</x:v>
      </x:c>
      <x:c r="G13" s="102" t="str">
        <x:v>Business-control reconciliation</x:v>
      </x:c>
    </x:row>
    <x:row r="14">
      <x:c r="A14" s="45" t="str">
        <x:v>Delivered estimated gross margin</x:v>
      </x:c>
      <x:c r="B14" s="57" t="n">
        <x:v>5187037.64</x:v>
      </x:c>
      <x:c r="C14" s="57" t="n">
        <x:v>5187037.64</x:v>
      </x:c>
      <x:c r="D14" s="57" t="n">
        <x:f>ABS(B14-C14)</x:f>
        <x:v>0</x:v>
      </x:c>
      <x:c r="E14" s="57" t="n">
        <x:v>5187037.64</x:v>
      </x:c>
      <x:c r="F14" s="65" t="str">
        <x:f>IF(AND(D14=0,C14=E14),"PASS","FAIL")</x:f>
        <x:v>PASS</x:v>
      </x:c>
      <x:c r="G14" s="102" t="str">
        <x:v>Business-control reconciliation</x:v>
      </x:c>
    </x:row>
    <x:row r="15">
      <x:c r="A15" s="48" t="str">
        <x:v>Marketing spend</x:v>
      </x:c>
      <x:c r="B15" s="58" t="n">
        <x:v>720063.83</x:v>
      </x:c>
      <x:c r="C15" s="58" t="n">
        <x:v>720063.83</x:v>
      </x:c>
      <x:c r="D15" s="58" t="n">
        <x:f>ABS(B15-C15)</x:f>
        <x:v>0</x:v>
      </x:c>
      <x:c r="E15" s="58" t="n">
        <x:v>720063.83</x:v>
      </x:c>
      <x:c r="F15" s="66" t="str">
        <x:f>IF(AND(D15=0,C15=E15),"PASS","FAIL")</x:f>
        <x:v>PASS</x:v>
      </x:c>
      <x:c r="G15" s="104" t="str">
        <x:v>Business-control reconciliation</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20" hidden="0" customWidth="1"/>
    <x:col min="3" max="3" width="28" hidden="0" customWidth="1"/>
    <x:col min="4" max="4" width="10" hidden="0" customWidth="1"/>
    <x:col min="5" max="5" width="22" hidden="0" customWidth="1"/>
    <x:col min="6" max="6" width="22" hidden="0" customWidth="1"/>
    <x:col min="7" max="7" width="45" hidden="0" customWidth="1"/>
  </x:cols>
  <x:sheetData>
    <x:row r="1">
      <x:c r="A1" s="117" t="str">
        <x:v>Data Quality &amp; Integrity Checks</x:v>
      </x:c>
      <x:c r="B1" s="117"/>
      <x:c r="C1" s="117"/>
      <x:c r="D1" s="117"/>
      <x:c r="E1" s="117"/>
      <x:c r="F1" s="117"/>
      <x:c r="G1" s="117"/>
      <x:c r="H1" s="118"/>
      <x:c r="I1" s="118"/>
      <x:c r="J1" s="118"/>
      <x:c r="K1" s="118"/>
      <x:c r="L1" s="118"/>
      <x:c r="M1" s="118"/>
      <x:c r="N1" s="118"/>
      <x:c r="O1" s="118"/>
      <x:c r="P1" s="118"/>
      <x:c r="Q1" s="118"/>
      <x:c r="R1" s="118"/>
      <x:c r="S1" s="118"/>
      <x:c r="T1" s="118"/>
      <x:c r="U1" s="118"/>
      <x:c r="V1" s="118"/>
      <x:c r="W1" s="118"/>
      <x:c r="X1" s="118"/>
      <x:c r="Y1" s="118"/>
      <x:c r="Z1" s="118"/>
    </x:row>
    <x:row r="3">
      <x:c r="A3" s="28" t="str">
        <x:v>Check</x:v>
      </x:c>
      <x:c r="B3" s="29" t="str">
        <x:v>Observed</x:v>
      </x:c>
      <x:c r="C3" s="29" t="str">
        <x:v>Threshold / Expectation</x:v>
      </x:c>
      <x:c r="D3" s="29" t="str">
        <x:v>Result</x:v>
      </x:c>
      <x:c r="E3" s="29" t="str">
        <x:v>Layer</x:v>
      </x:c>
      <x:c r="F3" s="29" t="str">
        <x:v>Impact</x:v>
      </x:c>
      <x:c r="G3" s="30" t="str">
        <x:v>Notes</x:v>
      </x:c>
    </x:row>
    <x:row r="4">
      <x:c r="A4" s="109" t="str">
        <x:v>Orders → Customers unmatched FK rate</x:v>
      </x:c>
      <x:c r="B4" s="101" t="str">
        <x:v>0.00%</x:v>
      </x:c>
      <x:c r="C4" s="101" t="str">
        <x:v>0%</x:v>
      </x:c>
      <x:c r="D4" s="110" t="str">
        <x:v>PASS</x:v>
      </x:c>
      <x:c r="E4" s="101" t="str">
        <x:v>Source / staging</x:v>
      </x:c>
      <x:c r="F4" s="101" t="str">
        <x:v>None</x:v>
      </x:c>
      <x:c r="G4" s="102" t="str">
        <x:v>Core ecommerce join integrity</x:v>
      </x:c>
    </x:row>
    <x:row r="5">
      <x:c r="A5" s="109" t="str">
        <x:v>Order Items → Orders unmatched FK rate</x:v>
      </x:c>
      <x:c r="B5" s="101" t="str">
        <x:v>0.00%</x:v>
      </x:c>
      <x:c r="C5" s="101" t="str">
        <x:v>0%</x:v>
      </x:c>
      <x:c r="D5" s="110" t="str">
        <x:v>PASS</x:v>
      </x:c>
      <x:c r="E5" s="101" t="str">
        <x:v>Source / staging</x:v>
      </x:c>
      <x:c r="F5" s="101" t="str">
        <x:v>None</x:v>
      </x:c>
      <x:c r="G5" s="102" t="str">
        <x:v>Core ecommerce join integrity</x:v>
      </x:c>
    </x:row>
    <x:row r="6">
      <x:c r="A6" s="109" t="str">
        <x:v>Order Items → Products unmatched FK rate</x:v>
      </x:c>
      <x:c r="B6" s="101" t="str">
        <x:v>0.00%</x:v>
      </x:c>
      <x:c r="C6" s="101" t="str">
        <x:v>0%</x:v>
      </x:c>
      <x:c r="D6" s="110" t="str">
        <x:v>PASS</x:v>
      </x:c>
      <x:c r="E6" s="101" t="str">
        <x:v>Source / staging</x:v>
      </x:c>
      <x:c r="F6" s="101" t="str">
        <x:v>None</x:v>
      </x:c>
      <x:c r="G6" s="102" t="str">
        <x:v>Core ecommerce join integrity</x:v>
      </x:c>
    </x:row>
    <x:row r="7">
      <x:c r="A7" s="109" t="str">
        <x:v>Order Items → Sellers unmatched FK rate</x:v>
      </x:c>
      <x:c r="B7" s="101" t="str">
        <x:v>0.00%</x:v>
      </x:c>
      <x:c r="C7" s="101" t="str">
        <x:v>0%</x:v>
      </x:c>
      <x:c r="D7" s="110" t="str">
        <x:v>PASS</x:v>
      </x:c>
      <x:c r="E7" s="101" t="str">
        <x:v>Source / staging</x:v>
      </x:c>
      <x:c r="F7" s="101" t="str">
        <x:v>None</x:v>
      </x:c>
      <x:c r="G7" s="102" t="str">
        <x:v>Core ecommerce join integrity</x:v>
      </x:c>
    </x:row>
    <x:row r="8">
      <x:c r="A8" s="109" t="str">
        <x:v>Payments → Orders unmatched FK rate</x:v>
      </x:c>
      <x:c r="B8" s="101" t="str">
        <x:v>0.00%</x:v>
      </x:c>
      <x:c r="C8" s="101" t="str">
        <x:v>0%</x:v>
      </x:c>
      <x:c r="D8" s="110" t="str">
        <x:v>PASS</x:v>
      </x:c>
      <x:c r="E8" s="101" t="str">
        <x:v>Source / staging</x:v>
      </x:c>
      <x:c r="F8" s="101" t="str">
        <x:v>None</x:v>
      </x:c>
      <x:c r="G8" s="102" t="str">
        <x:v>Core ecommerce join integrity</x:v>
      </x:c>
    </x:row>
    <x:row r="9">
      <x:c r="A9" s="109" t="str">
        <x:v>Reviews → Orders unmatched FK rate</x:v>
      </x:c>
      <x:c r="B9" s="101" t="str">
        <x:v>0.00%</x:v>
      </x:c>
      <x:c r="C9" s="101" t="str">
        <x:v>0%</x:v>
      </x:c>
      <x:c r="D9" s="110" t="str">
        <x:v>PASS</x:v>
      </x:c>
      <x:c r="E9" s="101" t="str">
        <x:v>Source / staging</x:v>
      </x:c>
      <x:c r="F9" s="101" t="str">
        <x:v>None</x:v>
      </x:c>
      <x:c r="G9" s="102" t="str">
        <x:v>Core ecommerce join integrity</x:v>
      </x:c>
    </x:row>
    <x:row r="10">
      <x:c r="A10" s="109" t="str">
        <x:v>Geolocation duplicate rows</x:v>
      </x:c>
      <x:c r="B10" s="101" t="n">
        <x:v>261831</x:v>
      </x:c>
      <x:c r="C10" s="101" t="str">
        <x:v>Document / handle duplicates</x:v>
      </x:c>
      <x:c r="D10" s="110" t="str">
        <x:v>PASS</x:v>
      </x:c>
      <x:c r="E10" s="101" t="str">
        <x:v>Raw</x:v>
      </x:c>
      <x:c r="F10" s="101" t="str">
        <x:v>Known source characteristic</x:v>
      </x:c>
      <x:c r="G10" s="102" t="str">
        <x:v>Not used as a unique-key assumption</x:v>
      </x:c>
    </x:row>
    <x:row r="11">
      <x:c r="A11" s="109" t="str">
        <x:v>DIM_DATE continuity</x:v>
      </x:c>
      <x:c r="B11" s="101" t="str">
        <x:v>1,317 / 1,317 expected</x:v>
      </x:c>
      <x:c r="C11" s="101" t="str">
        <x:v>Continuous daily range</x:v>
      </x:c>
      <x:c r="D11" s="110" t="str">
        <x:v>PASS</x:v>
      </x:c>
      <x:c r="E11" s="101" t="str">
        <x:v>Analytics</x:v>
      </x:c>
      <x:c r="F11" s="101" t="str">
        <x:v>Critical</x:v>
      </x:c>
      <x:c r="G11" s="102" t="str">
        <x:v>Range 2016-09-01 to 2020-04-09</x:v>
      </x:c>
    </x:row>
    <x:row r="12">
      <x:c r="A12" s="109" t="str">
        <x:v>Missing DIM_DATE dates</x:v>
      </x:c>
      <x:c r="B12" s="101" t="n">
        <x:v>0</x:v>
      </x:c>
      <x:c r="C12" s="101" t="str">
        <x:v>0</x:v>
      </x:c>
      <x:c r="D12" s="110" t="str">
        <x:v>PASS</x:v>
      </x:c>
      <x:c r="E12" s="101" t="str">
        <x:v>Analytics</x:v>
      </x:c>
      <x:c r="F12" s="101" t="str">
        <x:v>Critical</x:v>
      </x:c>
      <x:c r="G12" s="102" t="str">
        <x:v>Two historical gaps repaired before final publish</x:v>
      </x:c>
    </x:row>
    <x:row r="13">
      <x:c r="A13" s="109" t="str">
        <x:v>Inventory snapshot stockout rate</x:v>
      </x:c>
      <x:c r="B13" s="101" t="str">
        <x:v>1.56%</x:v>
      </x:c>
      <x:c r="C13" s="101" t="str">
        <x:v>Informational</x:v>
      </x:c>
      <x:c r="D13" s="110" t="str">
        <x:v>PASS</x:v>
      </x:c>
      <x:c r="E13" s="101" t="str">
        <x:v>Synthetic analytics</x:v>
      </x:c>
      <x:c r="F13" s="101" t="str">
        <x:v>Modeled KPI</x:v>
      </x:c>
      <x:c r="G13" s="102" t="str">
        <x:v>1,679 stockout rows historically</x:v>
      </x:c>
    </x:row>
    <x:row r="14">
      <x:c r="A14" s="109" t="str">
        <x:v>Latest below-reorder rate</x:v>
      </x:c>
      <x:c r="B14" s="101" t="str">
        <x:v>1.94%</x:v>
      </x:c>
      <x:c r="C14" s="101" t="str">
        <x:v>Informational</x:v>
      </x:c>
      <x:c r="D14" s="110" t="str">
        <x:v>PASS</x:v>
      </x:c>
      <x:c r="E14" s="101" t="str">
        <x:v>Synthetic analytics</x:v>
      </x:c>
      <x:c r="F14" s="101" t="str">
        <x:v>Modeled KPI</x:v>
      </x:c>
      <x:c r="G14" s="102" t="str">
        <x:v>201 rows at latest snapshot</x:v>
      </x:c>
    </x:row>
    <x:row r="15">
      <x:c r="A15" s="109" t="str">
        <x:v>Snowflake column/type validation</x:v>
      </x:c>
      <x:c r="B15" s="101" t="str">
        <x:v>PASS</x:v>
      </x:c>
      <x:c r="C15" s="101" t="str">
        <x:v>All analytics tables</x:v>
      </x:c>
      <x:c r="D15" s="110" t="str">
        <x:v>PASS</x:v>
      </x:c>
      <x:c r="E15" s="101" t="str">
        <x:v>Cloud serving</x:v>
      </x:c>
      <x:c r="F15" s="101" t="str">
        <x:v>Critical</x:v>
      </x:c>
      <x:c r="G15" s="102" t="str">
        <x:v>Types and columns reconciled</x:v>
      </x:c>
    </x:row>
    <x:row r="16">
      <x:c r="A16" s="109" t="str">
        <x:v>Snowflake NULL validation</x:v>
      </x:c>
      <x:c r="B16" s="101" t="str">
        <x:v>PASS</x:v>
      </x:c>
      <x:c r="C16" s="101" t="str">
        <x:v>No unexpected critical NULLs</x:v>
      </x:c>
      <x:c r="D16" s="110" t="str">
        <x:v>PASS</x:v>
      </x:c>
      <x:c r="E16" s="101" t="str">
        <x:v>Cloud serving</x:v>
      </x:c>
      <x:c r="F16" s="101" t="str">
        <x:v>Critical</x:v>
      </x:c>
      <x:c r="G16" s="102" t="str">
        <x:v>Migration validation passed</x:v>
      </x:c>
    </x:row>
    <x:row r="17">
      <x:c r="A17" s="111" t="str">
        <x:v>Power BI arithmetic reconciliation</x:v>
      </x:c>
      <x:c r="B17" s="103" t="str">
        <x:v>0 differences</x:v>
      </x:c>
      <x:c r="C17" s="103" t="str">
        <x:v>0</x:v>
      </x:c>
      <x:c r="D17" s="112" t="str">
        <x:v>PASS</x:v>
      </x:c>
      <x:c r="E17" s="103" t="str">
        <x:v>Semantic model</x:v>
      </x:c>
      <x:c r="F17" s="103" t="str">
        <x:v>Critical</x:v>
      </x:c>
      <x:c r="G17" s="104" t="str">
        <x:v>Repeat, marketing %, spend/order all exact</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72" hidden="0" customWidth="1"/>
    <x:col min="3" max="3" width="24" hidden="0" customWidth="1"/>
    <x:col min="4" max="4" width="22" hidden="0" customWidth="1"/>
  </x:cols>
  <x:sheetData>
    <x:row r="1">
      <x:c r="A1" s="117" t="str">
        <x:v>Methodology, Scope &amp; Assumptions</x:v>
      </x:c>
      <x:c r="B1" s="117"/>
      <x:c r="C1" s="117"/>
      <x:c r="D1" s="117"/>
      <x:c r="E1" s="118"/>
      <x:c r="F1" s="118"/>
      <x:c r="G1" s="118"/>
      <x:c r="H1" s="118"/>
      <x:c r="I1" s="118"/>
      <x:c r="J1" s="118"/>
      <x:c r="K1" s="118"/>
      <x:c r="L1" s="118"/>
      <x:c r="M1" s="118"/>
      <x:c r="N1" s="118"/>
      <x:c r="O1" s="118"/>
      <x:c r="P1" s="118"/>
      <x:c r="Q1" s="118"/>
      <x:c r="R1" s="118"/>
      <x:c r="S1" s="118"/>
      <x:c r="T1" s="118"/>
      <x:c r="U1" s="118"/>
      <x:c r="V1" s="118"/>
      <x:c r="W1" s="118"/>
      <x:c r="X1" s="118"/>
      <x:c r="Y1" s="118"/>
      <x:c r="Z1" s="118"/>
    </x:row>
    <x:row r="3">
      <x:c r="A3" s="12" t="str">
        <x:v>Data sources</x:v>
      </x:c>
      <x:c r="B3" s="12"/>
      <x:c r="C3" s="12"/>
      <x:c r="D3" s="12"/>
    </x:row>
    <x:row r="4">
      <x:c r="A4" s="28" t="str">
        <x:v>Topic</x:v>
      </x:c>
      <x:c r="B4" s="29" t="str">
        <x:v>Definition / Decision</x:v>
      </x:c>
      <x:c r="C4" s="29" t="str">
        <x:v>Classification</x:v>
      </x:c>
      <x:c r="D4" s="30" t="str">
        <x:v>Portfolio Disclosure</x:v>
      </x:c>
    </x:row>
    <x:row r="5">
      <x:c r="A5" s="109" t="str">
        <x:v>Public ecommerce data</x:v>
      </x:c>
      <x:c r="B5" s="101" t="str">
        <x:v>Olist Brazilian e-commerce dataset and Olist marketing funnel files.</x:v>
      </x:c>
      <x:c r="C5" s="101" t="str">
        <x:v>Observed / methodological</x:v>
      </x:c>
      <x:c r="D5" s="102" t="str">
        <x:v>Contextual</x:v>
      </x:c>
    </x:row>
    <x:row r="6">
      <x:c r="A6" s="111" t="str">
        <x:v>Synthetic enterprise extensions</x:v>
      </x:c>
      <x:c r="B6" s="103" t="str">
        <x:v>Stores, suppliers, cost assumptions, inventory, sales budgets/targets, and marketing spend were reproducibly generated for portfolio analysis.</x:v>
      </x:c>
      <x:c r="C6" s="103" t="str">
        <x:v>Synthetic / modeled</x:v>
      </x:c>
      <x:c r="D6" s="104" t="str">
        <x:v>Required</x:v>
      </x:c>
    </x:row>
    <x:row r="9">
      <x:c r="A9" s="12" t="str">
        <x:v>Architecture</x:v>
      </x:c>
      <x:c r="B9" s="12"/>
      <x:c r="C9" s="12"/>
      <x:c r="D9" s="12"/>
    </x:row>
    <x:row r="10">
      <x:c r="A10" s="28" t="str">
        <x:v>Topic</x:v>
      </x:c>
      <x:c r="B10" s="29" t="str">
        <x:v>Definition / Decision</x:v>
      </x:c>
      <x:c r="C10" s="29" t="str">
        <x:v>Classification</x:v>
      </x:c>
      <x:c r="D10" s="30" t="str">
        <x:v>Portfolio Disclosure</x:v>
      </x:c>
    </x:row>
    <x:row r="11">
      <x:c r="A11" s="109" t="str">
        <x:v>Local warehouse</x:v>
      </x:c>
      <x:c r="B11" s="101" t="str">
        <x:v>PostgreSQL schemas: raw, staging, analytics, synthetic.</x:v>
      </x:c>
      <x:c r="C11" s="101" t="str">
        <x:v>Observed / methodological</x:v>
      </x:c>
      <x:c r="D11" s="102" t="str">
        <x:v>Contextual</x:v>
      </x:c>
    </x:row>
    <x:row r="12">
      <x:c r="A12" s="109" t="str">
        <x:v>Cloud serving</x:v>
      </x:c>
      <x:c r="B12" s="101" t="str">
        <x:v>Snowflake database RETAIL_OPERATIONS_ANALYTICS, schema ANALYTICS.</x:v>
      </x:c>
      <x:c r="C12" s="101" t="str">
        <x:v>Observed / methodological</x:v>
      </x:c>
      <x:c r="D12" s="102" t="str">
        <x:v>Contextual</x:v>
      </x:c>
    </x:row>
    <x:row r="13">
      <x:c r="A13" s="111" t="str">
        <x:v>BI layer</x:v>
      </x:c>
      <x:c r="B13" s="103" t="str">
        <x:v>Power BI Desktop Import mode with a star-schema semantic model.</x:v>
      </x:c>
      <x:c r="C13" s="103" t="str">
        <x:v>Observed / methodological</x:v>
      </x:c>
      <x:c r="D13" s="104" t="str">
        <x:v>Contextual</x:v>
      </x:c>
    </x:row>
    <x:row r="16">
      <x:c r="A16" s="12" t="str">
        <x:v>KPI conventions</x:v>
      </x:c>
      <x:c r="B16" s="12"/>
      <x:c r="C16" s="12"/>
      <x:c r="D16" s="12"/>
    </x:row>
    <x:row r="17">
      <x:c r="A17" s="28" t="str">
        <x:v>Topic</x:v>
      </x:c>
      <x:c r="B17" s="29" t="str">
        <x:v>Definition / Decision</x:v>
      </x:c>
      <x:c r="C17" s="29" t="str">
        <x:v>Classification</x:v>
      </x:c>
      <x:c r="D17" s="30" t="str">
        <x:v>Portfolio Disclosure</x:v>
      </x:c>
    </x:row>
    <x:row r="18">
      <x:c r="A18" s="109" t="str">
        <x:v>Delivered sales</x:v>
      </x:c>
      <x:c r="B18" s="101" t="str">
        <x:v>Gross order value for delivered orders.</x:v>
      </x:c>
      <x:c r="C18" s="101" t="str">
        <x:v>Observed / methodological</x:v>
      </x:c>
      <x:c r="D18" s="102" t="str">
        <x:v>Contextual</x:v>
      </x:c>
    </x:row>
    <x:row r="19">
      <x:c r="A19" s="109" t="str">
        <x:v>Delivered merchandise sales</x:v>
      </x:c>
      <x:c r="B19" s="101" t="str">
        <x:v>Item price for delivered orders; excludes freight from merchandise revenue.</x:v>
      </x:c>
      <x:c r="C19" s="101" t="str">
        <x:v>Observed / methodological</x:v>
      </x:c>
      <x:c r="D19" s="102" t="str">
        <x:v>Contextual</x:v>
      </x:c>
    </x:row>
    <x:row r="20">
      <x:c r="A20" s="109" t="str">
        <x:v>Estimated COGS / margin</x:v>
      </x:c>
      <x:c r="B20" s="101" t="str">
        <x:v>Modeled values based on synthetic cost assumptions; not observed Olist accounting results.</x:v>
      </x:c>
      <x:c r="C20" s="101" t="str">
        <x:v>Synthetic / modeled</x:v>
      </x:c>
      <x:c r="D20" s="102" t="str">
        <x:v>Required</x:v>
      </x:c>
    </x:row>
    <x:row r="21">
      <x:c r="A21" s="109" t="str">
        <x:v>Late delivery rate</x:v>
      </x:c>
      <x:c r="B21" s="101" t="str">
        <x:v>Late deliveries divided by orders with a valid delivery timeline.</x:v>
      </x:c>
      <x:c r="C21" s="101" t="str">
        <x:v>Observed / methodological</x:v>
      </x:c>
      <x:c r="D21" s="102" t="str">
        <x:v>Contextual</x:v>
      </x:c>
    </x:row>
    <x:row r="22">
      <x:c r="A22" s="109" t="str">
        <x:v>Current inventory KPIs</x:v>
      </x:c>
      <x:c r="B22" s="101" t="str">
        <x:v>Calculated at the latest modeled inventory snapshot (2018-08-01).</x:v>
      </x:c>
      <x:c r="C22" s="101" t="str">
        <x:v>Synthetic / modeled</x:v>
      </x:c>
      <x:c r="D22" s="102" t="str">
        <x:v>Required</x:v>
      </x:c>
    </x:row>
    <x:row r="23">
      <x:c r="A23" s="109" t="str">
        <x:v>Stockout rate</x:v>
      </x:c>
      <x:c r="B23" s="101" t="str">
        <x:v>Historical modeled inventory rows with HAD_STOCKOUT = TRUE divided by all modeled inventory rows.</x:v>
      </x:c>
      <x:c r="C23" s="101" t="str">
        <x:v>Synthetic / modeled</x:v>
      </x:c>
      <x:c r="D23" s="102" t="str">
        <x:v>Required</x:v>
      </x:c>
    </x:row>
    <x:row r="24">
      <x:c r="A24" s="109" t="str">
        <x:v>Repeat customer</x:v>
      </x:c>
      <x:c r="B24" s="101" t="str">
        <x:v>Customer with more than one order in the analysis model.</x:v>
      </x:c>
      <x:c r="C24" s="101" t="str">
        <x:v>Observed / methodological</x:v>
      </x:c>
      <x:c r="D24" s="102" t="str">
        <x:v>Contextual</x:v>
      </x:c>
    </x:row>
    <x:row r="25">
      <x:c r="A25" s="111" t="str">
        <x:v>Marketing metrics</x:v>
      </x:c>
      <x:c r="B25" s="103" t="str">
        <x:v>Marketing spend is simulated. Sales-vs-spend visuals show association only; they are not channel-level causal attribution.</x:v>
      </x:c>
      <x:c r="C25" s="103" t="str">
        <x:v>Synthetic / modeled</x:v>
      </x:c>
      <x:c r="D25" s="104" t="str">
        <x:v>Required</x:v>
      </x:c>
    </x:row>
    <x:row r="28">
      <x:c r="A28" s="12" t="str">
        <x:v>Interpretation safeguards</x:v>
      </x:c>
      <x:c r="B28" s="12"/>
      <x:c r="C28" s="12"/>
      <x:c r="D28" s="12"/>
    </x:row>
    <x:row r="29">
      <x:c r="A29" s="28" t="str">
        <x:v>Topic</x:v>
      </x:c>
      <x:c r="B29" s="29" t="str">
        <x:v>Definition / Decision</x:v>
      </x:c>
      <x:c r="C29" s="29" t="str">
        <x:v>Classification</x:v>
      </x:c>
      <x:c r="D29" s="30" t="str">
        <x:v>Portfolio Disclosure</x:v>
      </x:c>
    </x:row>
    <x:row r="30">
      <x:c r="A30" s="109" t="str">
        <x:v>Supplier attributes</x:v>
      </x:c>
      <x:c r="B30" s="101" t="str">
        <x:v>Lead time, rating/fill-rate style fields and related operational attributes are synthetic and should not be presented as achieved supplier performance.</x:v>
      </x:c>
      <x:c r="C30" s="101" t="str">
        <x:v>Synthetic / modeled</x:v>
      </x:c>
      <x:c r="D30" s="102" t="str">
        <x:v>Required</x:v>
      </x:c>
    </x:row>
    <x:row r="31">
      <x:c r="A31" s="109" t="str">
        <x:v>Review vs lateness</x:v>
      </x:c>
      <x:c r="B31" s="101" t="str">
        <x:v>Associations between late delivery and review scores are descriptive and not causal estimates.</x:v>
      </x:c>
      <x:c r="C31" s="101" t="str">
        <x:v>Observed / methodological</x:v>
      </x:c>
      <x:c r="D31" s="102" t="str">
        <x:v>Contextual</x:v>
      </x:c>
    </x:row>
    <x:row r="32">
      <x:c r="A32" s="109" t="str">
        <x:v>Currency</x:v>
      </x:c>
      <x:c r="B32" s="101" t="str">
        <x:v>Values reflect the dataset's transaction amounts; the workbook does not assert a converted AUD basis.</x:v>
      </x:c>
      <x:c r="C32" s="101" t="str">
        <x:v>Observed / methodological</x:v>
      </x:c>
      <x:c r="D32" s="102" t="str">
        <x:v>Contextual</x:v>
      </x:c>
    </x:row>
    <x:row r="33">
      <x:c r="A33" s="111" t="str">
        <x:v>Floating point</x:v>
      </x:c>
      <x:c r="B33" s="103" t="str">
        <x:v>Minor binary floating-point representations such as 15,419,773.75000001 are treated as equivalent to 15,419,773.75 within reconciliation tolerance.</x:v>
      </x:c>
      <x:c r="C33" s="103" t="str">
        <x:v>Observed / methodological</x:v>
      </x:c>
      <x:c r="D33" s="104" t="str">
        <x:v>Contextual</x:v>
      </x:c>
    </x:row>
  </x:sheetData>
  <x:mergeCells>
    <x:mergeCell ref="A1:D1"/>
    <x:mergeCell ref="A3:D3"/>
    <x:mergeCell ref="A9:D9"/>
    <x:mergeCell ref="A16:D16"/>
    <x:mergeCell ref="A28:D28"/>
  </x:mergeCells>
  <x:pageMargins left="0.7" right="0.7" top="0.75" bottom="0.75" header="0.3" footer="0.3"/>
</x:worksheet>
</file>